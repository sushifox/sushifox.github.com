
<file path=[Content_Types].xml><?xml version="1.0" encoding="utf-8"?>
<Types xmlns="http://schemas.openxmlformats.org/package/2006/content-types"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ate1904="1" showInkAnnotation="0" autoCompressPictures="0"/>
  <bookViews>
    <workbookView xWindow="-20" yWindow="-20" windowWidth="19560" windowHeight="14160" tabRatio="500"/>
  </bookViews>
  <sheets>
    <sheet name="Sheet1" sheetId="1" r:id="rId1"/>
  </sheets>
  <calcPr calcId="130000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L82" i="1"/>
  <c r="K82"/>
  <c r="J82"/>
  <c r="I82"/>
  <c r="F82"/>
  <c r="E82"/>
  <c r="D82"/>
  <c r="C82"/>
  <c r="L81"/>
  <c r="K81"/>
  <c r="J81"/>
  <c r="I81"/>
  <c r="F81"/>
  <c r="E81"/>
  <c r="D81"/>
  <c r="C81"/>
  <c r="L80"/>
  <c r="K80"/>
  <c r="J80"/>
  <c r="I80"/>
  <c r="F80"/>
  <c r="E80"/>
  <c r="D80"/>
  <c r="C80"/>
  <c r="L79"/>
  <c r="K79"/>
  <c r="J79"/>
  <c r="I79"/>
  <c r="F79"/>
  <c r="E79"/>
  <c r="D79"/>
  <c r="C79"/>
  <c r="L78"/>
  <c r="K78"/>
  <c r="J78"/>
  <c r="I78"/>
  <c r="F78"/>
  <c r="E78"/>
  <c r="D78"/>
  <c r="C78"/>
  <c r="L77"/>
  <c r="K77"/>
  <c r="J77"/>
  <c r="I77"/>
  <c r="F77"/>
  <c r="E77"/>
  <c r="D77"/>
  <c r="C77"/>
  <c r="L74"/>
  <c r="K74"/>
  <c r="J74"/>
  <c r="I74"/>
  <c r="F74"/>
  <c r="E74"/>
  <c r="D74"/>
  <c r="C74"/>
  <c r="L73"/>
  <c r="K73"/>
  <c r="J73"/>
  <c r="I73"/>
  <c r="F73"/>
  <c r="E73"/>
  <c r="D73"/>
  <c r="C73"/>
  <c r="L72"/>
  <c r="K72"/>
  <c r="J72"/>
  <c r="I72"/>
  <c r="F72"/>
  <c r="E72"/>
  <c r="D72"/>
  <c r="C72"/>
  <c r="L71"/>
  <c r="K71"/>
  <c r="J71"/>
  <c r="I71"/>
  <c r="F71"/>
  <c r="E71"/>
  <c r="D71"/>
  <c r="C71"/>
  <c r="L70"/>
  <c r="K70"/>
  <c r="J70"/>
  <c r="I70"/>
  <c r="F70"/>
  <c r="E70"/>
  <c r="D70"/>
  <c r="C70"/>
  <c r="L69"/>
  <c r="K69"/>
  <c r="J69"/>
  <c r="I69"/>
  <c r="F69"/>
  <c r="E69"/>
  <c r="D69"/>
  <c r="C69"/>
  <c r="L66"/>
  <c r="K66"/>
  <c r="J66"/>
  <c r="I66"/>
  <c r="F66"/>
  <c r="E66"/>
  <c r="D66"/>
  <c r="C66"/>
  <c r="L65"/>
  <c r="K65"/>
  <c r="J65"/>
  <c r="I65"/>
  <c r="F65"/>
  <c r="E65"/>
  <c r="D65"/>
  <c r="C65"/>
  <c r="L64"/>
  <c r="K64"/>
  <c r="J64"/>
  <c r="I64"/>
  <c r="F64"/>
  <c r="E64"/>
  <c r="D64"/>
  <c r="C64"/>
  <c r="L63"/>
  <c r="K63"/>
  <c r="J63"/>
  <c r="I63"/>
  <c r="F63"/>
  <c r="E63"/>
  <c r="D63"/>
  <c r="C63"/>
  <c r="L62"/>
  <c r="K62"/>
  <c r="J62"/>
  <c r="I62"/>
  <c r="F62"/>
  <c r="E62"/>
  <c r="D62"/>
  <c r="C62"/>
  <c r="L61"/>
  <c r="K61"/>
  <c r="J61"/>
  <c r="I61"/>
  <c r="F61"/>
  <c r="E61"/>
  <c r="D61"/>
  <c r="C61"/>
  <c r="L58"/>
  <c r="K58"/>
  <c r="J58"/>
  <c r="I58"/>
  <c r="F58"/>
  <c r="E58"/>
  <c r="D58"/>
  <c r="C58"/>
  <c r="L57"/>
  <c r="K57"/>
  <c r="J57"/>
  <c r="I57"/>
  <c r="F57"/>
  <c r="E57"/>
  <c r="D57"/>
  <c r="C57"/>
  <c r="L56"/>
  <c r="K56"/>
  <c r="J56"/>
  <c r="I56"/>
  <c r="F56"/>
  <c r="E56"/>
  <c r="D56"/>
  <c r="C56"/>
  <c r="L55"/>
  <c r="K55"/>
  <c r="J55"/>
  <c r="I55"/>
  <c r="F55"/>
  <c r="E55"/>
  <c r="D55"/>
  <c r="C55"/>
  <c r="L54"/>
  <c r="K54"/>
  <c r="J54"/>
  <c r="I54"/>
  <c r="F54"/>
  <c r="E54"/>
  <c r="D54"/>
  <c r="C54"/>
  <c r="L53"/>
  <c r="K53"/>
  <c r="J53"/>
  <c r="I53"/>
  <c r="F53"/>
  <c r="E53"/>
  <c r="D53"/>
  <c r="C53"/>
  <c r="L50"/>
  <c r="K50"/>
  <c r="J50"/>
  <c r="I50"/>
  <c r="F50"/>
  <c r="E50"/>
  <c r="D50"/>
  <c r="C50"/>
  <c r="L49"/>
  <c r="K49"/>
  <c r="J49"/>
  <c r="I49"/>
  <c r="F49"/>
  <c r="E49"/>
  <c r="D49"/>
  <c r="C49"/>
  <c r="L48"/>
  <c r="K48"/>
  <c r="J48"/>
  <c r="I48"/>
  <c r="F48"/>
  <c r="E48"/>
  <c r="D48"/>
  <c r="C48"/>
  <c r="L47"/>
  <c r="K47"/>
  <c r="J47"/>
  <c r="I47"/>
  <c r="F47"/>
  <c r="E47"/>
  <c r="D47"/>
  <c r="C47"/>
  <c r="L46"/>
  <c r="K46"/>
  <c r="J46"/>
  <c r="I46"/>
  <c r="F46"/>
  <c r="E46"/>
  <c r="D46"/>
  <c r="C46"/>
  <c r="L45"/>
  <c r="K45"/>
  <c r="J45"/>
  <c r="I45"/>
  <c r="F45"/>
  <c r="E45"/>
  <c r="D45"/>
  <c r="C45"/>
  <c r="L42"/>
  <c r="K42"/>
  <c r="J42"/>
  <c r="I42"/>
  <c r="F42"/>
  <c r="E42"/>
  <c r="D42"/>
  <c r="C42"/>
  <c r="L41"/>
  <c r="K41"/>
  <c r="J41"/>
  <c r="I41"/>
  <c r="F41"/>
  <c r="E41"/>
  <c r="D41"/>
  <c r="C41"/>
  <c r="L40"/>
  <c r="K40"/>
  <c r="J40"/>
  <c r="I40"/>
  <c r="F40"/>
  <c r="E40"/>
  <c r="D40"/>
  <c r="C40"/>
  <c r="L39"/>
  <c r="K39"/>
  <c r="J39"/>
  <c r="I39"/>
  <c r="F39"/>
  <c r="E39"/>
  <c r="D39"/>
  <c r="C39"/>
  <c r="L38"/>
  <c r="K38"/>
  <c r="J38"/>
  <c r="I38"/>
  <c r="F38"/>
  <c r="E38"/>
  <c r="D38"/>
  <c r="C38"/>
  <c r="L37"/>
  <c r="K37"/>
  <c r="J37"/>
  <c r="I37"/>
  <c r="F37"/>
  <c r="E37"/>
  <c r="D37"/>
  <c r="C37"/>
  <c r="L34"/>
  <c r="K34"/>
  <c r="J34"/>
  <c r="I34"/>
  <c r="F34"/>
  <c r="E34"/>
  <c r="D34"/>
  <c r="C34"/>
  <c r="L33"/>
  <c r="K33"/>
  <c r="J33"/>
  <c r="I33"/>
  <c r="F33"/>
  <c r="E33"/>
  <c r="D33"/>
  <c r="C33"/>
  <c r="L32"/>
  <c r="K32"/>
  <c r="J32"/>
  <c r="I32"/>
  <c r="F32"/>
  <c r="E32"/>
  <c r="D32"/>
  <c r="C32"/>
  <c r="L31"/>
  <c r="K31"/>
  <c r="J31"/>
  <c r="I31"/>
  <c r="F31"/>
  <c r="E31"/>
  <c r="D31"/>
  <c r="C31"/>
  <c r="L30"/>
  <c r="K30"/>
  <c r="J30"/>
  <c r="I30"/>
  <c r="F30"/>
  <c r="E30"/>
  <c r="D30"/>
  <c r="C30"/>
  <c r="L29"/>
  <c r="K29"/>
  <c r="J29"/>
  <c r="I29"/>
  <c r="F29"/>
  <c r="E29"/>
  <c r="D29"/>
  <c r="C29"/>
  <c r="L26"/>
  <c r="K26"/>
  <c r="J26"/>
  <c r="I26"/>
  <c r="F26"/>
  <c r="E26"/>
  <c r="D26"/>
  <c r="L25"/>
  <c r="K25"/>
  <c r="J25"/>
  <c r="I25"/>
  <c r="F25"/>
  <c r="E25"/>
  <c r="D25"/>
  <c r="L24"/>
  <c r="K24"/>
  <c r="J24"/>
  <c r="I24"/>
  <c r="F24"/>
  <c r="E24"/>
  <c r="D24"/>
  <c r="L23"/>
  <c r="K23"/>
  <c r="J23"/>
  <c r="I23"/>
  <c r="F23"/>
  <c r="E23"/>
  <c r="D23"/>
  <c r="L22"/>
  <c r="K22"/>
  <c r="J22"/>
  <c r="I22"/>
  <c r="F22"/>
  <c r="E22"/>
  <c r="D22"/>
  <c r="L21"/>
  <c r="K21"/>
  <c r="J21"/>
  <c r="I21"/>
  <c r="F21"/>
  <c r="E21"/>
  <c r="D21"/>
  <c r="L14"/>
  <c r="K14"/>
  <c r="J14"/>
  <c r="I14"/>
  <c r="H14"/>
  <c r="G14"/>
  <c r="F14"/>
  <c r="E14"/>
  <c r="L13"/>
  <c r="K13"/>
  <c r="J13"/>
  <c r="I13"/>
  <c r="H13"/>
  <c r="G13"/>
  <c r="F13"/>
  <c r="E13"/>
  <c r="L12"/>
  <c r="K12"/>
  <c r="J12"/>
  <c r="I12"/>
  <c r="H12"/>
  <c r="G12"/>
  <c r="F12"/>
  <c r="E12"/>
  <c r="L11"/>
  <c r="K11"/>
  <c r="J11"/>
  <c r="I11"/>
  <c r="H11"/>
  <c r="G11"/>
  <c r="F11"/>
  <c r="E11"/>
  <c r="L10"/>
  <c r="K10"/>
  <c r="J10"/>
  <c r="I10"/>
  <c r="H10"/>
  <c r="G10"/>
  <c r="F10"/>
  <c r="E10"/>
  <c r="L9"/>
  <c r="K9"/>
  <c r="J9"/>
  <c r="I9"/>
  <c r="H9"/>
  <c r="G9"/>
  <c r="F9"/>
  <c r="E9"/>
</calcChain>
</file>

<file path=xl/sharedStrings.xml><?xml version="1.0" encoding="utf-8"?>
<sst xmlns="http://schemas.openxmlformats.org/spreadsheetml/2006/main" count="200" uniqueCount="87">
  <si>
    <t>TYPE (or "Paste Values Only") the COOL STATS to the orange box below to generate all stats for every type!</t>
    <phoneticPr fontId="2" type="noConversion"/>
  </si>
  <si>
    <t>Def</t>
    <phoneticPr fontId="2" type="noConversion"/>
  </si>
  <si>
    <t>Agi</t>
    <phoneticPr fontId="2" type="noConversion"/>
  </si>
  <si>
    <t>Wis</t>
    <phoneticPr fontId="2" type="noConversion"/>
  </si>
  <si>
    <t>HP</t>
    <phoneticPr fontId="2" type="noConversion"/>
  </si>
  <si>
    <t>MP</t>
    <phoneticPr fontId="2" type="noConversion"/>
  </si>
  <si>
    <t>Atk</t>
    <phoneticPr fontId="2" type="noConversion"/>
  </si>
  <si>
    <t>Def</t>
    <phoneticPr fontId="2" type="noConversion"/>
  </si>
  <si>
    <t>Agi</t>
    <phoneticPr fontId="2" type="noConversion"/>
  </si>
  <si>
    <t>Wis</t>
    <phoneticPr fontId="2" type="noConversion"/>
  </si>
  <si>
    <t>HP</t>
    <phoneticPr fontId="2" type="noConversion"/>
  </si>
  <si>
    <t>MP</t>
    <phoneticPr fontId="2" type="noConversion"/>
  </si>
  <si>
    <t>Atk</t>
    <phoneticPr fontId="2" type="noConversion"/>
  </si>
  <si>
    <t>Def</t>
    <phoneticPr fontId="2" type="noConversion"/>
  </si>
  <si>
    <t>Agi</t>
    <phoneticPr fontId="2" type="noConversion"/>
  </si>
  <si>
    <t>Wis</t>
    <phoneticPr fontId="2" type="noConversion"/>
  </si>
  <si>
    <t>(in the yellow box)</t>
    <phoneticPr fontId="2" type="noConversion"/>
  </si>
  <si>
    <t>HP</t>
    <phoneticPr fontId="2" type="noConversion"/>
  </si>
  <si>
    <t>MP</t>
    <phoneticPr fontId="2" type="noConversion"/>
  </si>
  <si>
    <t>Atk</t>
    <phoneticPr fontId="2" type="noConversion"/>
  </si>
  <si>
    <t>Def</t>
    <phoneticPr fontId="2" type="noConversion"/>
  </si>
  <si>
    <t>Agi</t>
    <phoneticPr fontId="2" type="noConversion"/>
  </si>
  <si>
    <t>Wis</t>
    <phoneticPr fontId="2" type="noConversion"/>
  </si>
  <si>
    <t>Agi</t>
    <phoneticPr fontId="2" type="noConversion"/>
  </si>
  <si>
    <t>Add your Guardian's lvl1 stats in the YELLOW BOX, then FIND THE CORRECT COLUMN BELOW. ONLY ONE COLUMN IS CORRECT.</t>
    <phoneticPr fontId="2" type="noConversion"/>
  </si>
  <si>
    <t>COOL:</t>
    <phoneticPr fontId="2" type="noConversion"/>
  </si>
  <si>
    <t>ACE:</t>
    <phoneticPr fontId="2" type="noConversion"/>
  </si>
  <si>
    <t>SEXY:</t>
    <phoneticPr fontId="2" type="noConversion"/>
  </si>
  <si>
    <t>COOL R:</t>
    <phoneticPr fontId="2" type="noConversion"/>
  </si>
  <si>
    <t>ACE R:</t>
    <phoneticPr fontId="2" type="noConversion"/>
  </si>
  <si>
    <t>EROTIC:</t>
    <phoneticPr fontId="2" type="noConversion"/>
  </si>
  <si>
    <t>POWERFUL:</t>
    <phoneticPr fontId="2" type="noConversion"/>
  </si>
  <si>
    <t>BRAVE:</t>
    <phoneticPr fontId="2" type="noConversion"/>
  </si>
  <si>
    <t>FAST:</t>
    <phoneticPr fontId="2" type="noConversion"/>
  </si>
  <si>
    <t>INTEL:</t>
    <phoneticPr fontId="2" type="noConversion"/>
  </si>
  <si>
    <t>BERSERK:</t>
    <phoneticPr fontId="2" type="noConversion"/>
  </si>
  <si>
    <t>STALWART:</t>
    <phoneticPr fontId="2" type="noConversion"/>
  </si>
  <si>
    <t>SONIC:</t>
    <phoneticPr fontId="2" type="noConversion"/>
  </si>
  <si>
    <t>WISE:</t>
    <phoneticPr fontId="2" type="noConversion"/>
  </si>
  <si>
    <t>HP</t>
    <phoneticPr fontId="2" type="noConversion"/>
  </si>
  <si>
    <t>MP</t>
    <phoneticPr fontId="2" type="noConversion"/>
  </si>
  <si>
    <t>Atk</t>
    <phoneticPr fontId="2" type="noConversion"/>
  </si>
  <si>
    <t>Def</t>
    <phoneticPr fontId="2" type="noConversion"/>
  </si>
  <si>
    <t>Agi</t>
    <phoneticPr fontId="2" type="noConversion"/>
  </si>
  <si>
    <t>Wis</t>
    <phoneticPr fontId="2" type="noConversion"/>
  </si>
  <si>
    <t>HP</t>
    <phoneticPr fontId="2" type="noConversion"/>
  </si>
  <si>
    <t>HP</t>
    <phoneticPr fontId="2" type="noConversion"/>
  </si>
  <si>
    <t>MP</t>
    <phoneticPr fontId="2" type="noConversion"/>
  </si>
  <si>
    <t>Atk</t>
    <phoneticPr fontId="2" type="noConversion"/>
  </si>
  <si>
    <t>Stone pts</t>
  </si>
  <si>
    <t>Stone pts</t>
    <phoneticPr fontId="2" type="noConversion"/>
  </si>
  <si>
    <t>Reborn:</t>
    <phoneticPr fontId="2" type="noConversion"/>
  </si>
  <si>
    <t>Pre-rebirth:</t>
    <phoneticPr fontId="2" type="noConversion"/>
  </si>
  <si>
    <t>Stat</t>
    <phoneticPr fontId="2" type="noConversion"/>
  </si>
  <si>
    <t>Cool</t>
    <phoneticPr fontId="2" type="noConversion"/>
  </si>
  <si>
    <t>Ace</t>
    <phoneticPr fontId="2" type="noConversion"/>
  </si>
  <si>
    <t>Chaotic</t>
    <phoneticPr fontId="2" type="noConversion"/>
  </si>
  <si>
    <t>Sexy</t>
    <phoneticPr fontId="2" type="noConversion"/>
  </si>
  <si>
    <t>Powerful</t>
    <phoneticPr fontId="2" type="noConversion"/>
  </si>
  <si>
    <t>If your Guardian is …</t>
  </si>
  <si>
    <t>Brave</t>
    <phoneticPr fontId="2" type="noConversion"/>
  </si>
  <si>
    <t>Fast</t>
    <phoneticPr fontId="2" type="noConversion"/>
  </si>
  <si>
    <t>Intelligent</t>
    <phoneticPr fontId="2" type="noConversion"/>
  </si>
  <si>
    <t>Then the COOL STATS for this Guardian are …</t>
    <phoneticPr fontId="2" type="noConversion"/>
  </si>
  <si>
    <t>HP</t>
  </si>
  <si>
    <t>HP</t>
    <phoneticPr fontId="2" type="noConversion"/>
  </si>
  <si>
    <t>MP</t>
  </si>
  <si>
    <t>MP</t>
    <phoneticPr fontId="2" type="noConversion"/>
  </si>
  <si>
    <t>Atk</t>
  </si>
  <si>
    <t>Atk</t>
    <phoneticPr fontId="2" type="noConversion"/>
  </si>
  <si>
    <t>Def</t>
  </si>
  <si>
    <t>Def</t>
    <phoneticPr fontId="2" type="noConversion"/>
  </si>
  <si>
    <t>Agi</t>
  </si>
  <si>
    <t>Wis</t>
  </si>
  <si>
    <t>Wis</t>
    <phoneticPr fontId="2" type="noConversion"/>
  </si>
  <si>
    <t>lvl1</t>
  </si>
  <si>
    <t>lvl60</t>
  </si>
  <si>
    <t>lvl60 FS</t>
  </si>
  <si>
    <t>Your Value</t>
    <phoneticPr fontId="2" type="noConversion"/>
  </si>
  <si>
    <t>lvl1</t>
    <phoneticPr fontId="2" type="noConversion"/>
  </si>
  <si>
    <t>lvl60</t>
    <phoneticPr fontId="2" type="noConversion"/>
  </si>
  <si>
    <t>lvl60 FS</t>
    <phoneticPr fontId="2" type="noConversion"/>
  </si>
  <si>
    <t>lvl70</t>
    <phoneticPr fontId="2" type="noConversion"/>
  </si>
  <si>
    <t>lvl70 FS</t>
    <phoneticPr fontId="2" type="noConversion"/>
  </si>
  <si>
    <t>BOLD:</t>
    <phoneticPr fontId="2" type="noConversion"/>
  </si>
  <si>
    <t>CHAOTIC:</t>
    <phoneticPr fontId="2" type="noConversion"/>
  </si>
  <si>
    <t>BUTTWUFF'S BIG BAD 5* STAT SPREADSHEET</t>
    <phoneticPr fontId="2" type="noConversion"/>
  </si>
</sst>
</file>

<file path=xl/styles.xml><?xml version="1.0" encoding="utf-8"?>
<styleSheet xmlns="http://schemas.openxmlformats.org/spreadsheetml/2006/main">
  <numFmts count="1">
    <numFmt numFmtId="164" formatCode="#,##0"/>
  </numFmts>
  <fonts count="5">
    <font>
      <sz val="10"/>
      <name val="Verdana"/>
    </font>
    <font>
      <b/>
      <sz val="10"/>
      <name val="Verdana"/>
    </font>
    <font>
      <sz val="8"/>
      <name val="Verdana"/>
    </font>
    <font>
      <b/>
      <sz val="16"/>
      <name val="Verdana"/>
    </font>
    <font>
      <b/>
      <sz val="10"/>
      <color indexed="9"/>
      <name val="Verdana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3" fontId="0" fillId="0" borderId="0" xfId="0" applyNumberFormat="1"/>
    <xf numFmtId="0" fontId="1" fillId="0" borderId="0" xfId="0" applyFont="1" applyAlignment="1">
      <alignment horizontal="center"/>
    </xf>
    <xf numFmtId="164" fontId="0" fillId="3" borderId="0" xfId="0" applyNumberFormat="1" applyFill="1"/>
    <xf numFmtId="0" fontId="1" fillId="0" borderId="7" xfId="0" applyFont="1" applyBorder="1"/>
    <xf numFmtId="0" fontId="1" fillId="0" borderId="8" xfId="0" applyFont="1" applyBorder="1"/>
    <xf numFmtId="0" fontId="1" fillId="0" borderId="4" xfId="0" applyFont="1" applyBorder="1"/>
    <xf numFmtId="164" fontId="0" fillId="2" borderId="0" xfId="0" applyNumberFormat="1" applyFill="1" applyBorder="1"/>
    <xf numFmtId="164" fontId="0" fillId="0" borderId="0" xfId="0" applyNumberFormat="1" applyBorder="1"/>
    <xf numFmtId="164" fontId="0" fillId="0" borderId="5" xfId="0" applyNumberFormat="1" applyBorder="1"/>
    <xf numFmtId="0" fontId="1" fillId="0" borderId="1" xfId="0" applyFont="1" applyBorder="1"/>
    <xf numFmtId="164" fontId="0" fillId="2" borderId="2" xfId="0" applyNumberFormat="1" applyFill="1" applyBorder="1"/>
    <xf numFmtId="164" fontId="0" fillId="0" borderId="2" xfId="0" applyNumberFormat="1" applyBorder="1"/>
    <xf numFmtId="164" fontId="0" fillId="0" borderId="3" xfId="0" applyNumberFormat="1" applyBorder="1"/>
    <xf numFmtId="0" fontId="1" fillId="4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0" applyFont="1"/>
    <xf numFmtId="0" fontId="4" fillId="5" borderId="6" xfId="0" applyFont="1" applyFill="1" applyBorder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>
    <pageSetUpPr autoPageBreaks="0"/>
  </sheetPr>
  <dimension ref="B1:L82"/>
  <sheetViews>
    <sheetView tabSelected="1" workbookViewId="0">
      <selection activeCell="B17" sqref="B17"/>
    </sheetView>
  </sheetViews>
  <sheetFormatPr baseColWidth="10" defaultRowHeight="13"/>
  <cols>
    <col min="1" max="1" width="5.85546875" customWidth="1"/>
    <col min="2" max="2" width="11.5703125" customWidth="1"/>
  </cols>
  <sheetData>
    <row r="1" spans="2:12" ht="21" customHeight="1"/>
    <row r="2" spans="2:12" ht="20">
      <c r="B2" s="18" t="s">
        <v>86</v>
      </c>
    </row>
    <row r="4" spans="2:12" s="1" customFormat="1">
      <c r="B4" s="15" t="s">
        <v>24</v>
      </c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2:12" s="1" customFormat="1">
      <c r="B5" t="s">
        <v>16</v>
      </c>
      <c r="C5" s="17"/>
      <c r="D5" s="17"/>
      <c r="E5" s="17"/>
      <c r="F5" s="17"/>
      <c r="G5" s="17"/>
      <c r="H5" s="17"/>
      <c r="I5" s="17"/>
      <c r="J5" s="17"/>
    </row>
    <row r="6" spans="2:12">
      <c r="E6" t="s">
        <v>59</v>
      </c>
    </row>
    <row r="7" spans="2:12">
      <c r="B7" s="1" t="s">
        <v>53</v>
      </c>
      <c r="C7" s="1" t="s">
        <v>78</v>
      </c>
      <c r="E7" s="3" t="s">
        <v>54</v>
      </c>
      <c r="F7" s="3" t="s">
        <v>55</v>
      </c>
      <c r="G7" s="3" t="s">
        <v>56</v>
      </c>
      <c r="H7" s="3" t="s">
        <v>57</v>
      </c>
      <c r="I7" s="3" t="s">
        <v>58</v>
      </c>
      <c r="J7" s="3" t="s">
        <v>60</v>
      </c>
      <c r="K7" s="3" t="s">
        <v>61</v>
      </c>
      <c r="L7" s="3" t="s">
        <v>62</v>
      </c>
    </row>
    <row r="8" spans="2:12">
      <c r="E8" t="s">
        <v>63</v>
      </c>
    </row>
    <row r="9" spans="2:12">
      <c r="B9" s="1" t="s">
        <v>17</v>
      </c>
      <c r="C9" s="4"/>
      <c r="E9" s="2">
        <f>$C$9</f>
        <v>0</v>
      </c>
      <c r="F9" s="2">
        <f>($C$9/11)*10</f>
        <v>0</v>
      </c>
      <c r="G9" s="2">
        <f>($C$9/11)*10</f>
        <v>0</v>
      </c>
      <c r="H9" s="2">
        <f>($C$9/9)*10</f>
        <v>0</v>
      </c>
      <c r="I9" s="2">
        <f>$C$9</f>
        <v>0</v>
      </c>
      <c r="J9" s="2">
        <f>$C$9</f>
        <v>0</v>
      </c>
      <c r="K9" s="2">
        <f>$C$9</f>
        <v>0</v>
      </c>
      <c r="L9" s="2">
        <f>$C$9</f>
        <v>0</v>
      </c>
    </row>
    <row r="10" spans="2:12">
      <c r="B10" s="1" t="s">
        <v>18</v>
      </c>
      <c r="C10" s="4"/>
      <c r="E10" s="2">
        <f>$C$10</f>
        <v>0</v>
      </c>
      <c r="F10" s="2">
        <f>($C$10/11)*10</f>
        <v>0</v>
      </c>
      <c r="G10" s="2">
        <f>$C$10</f>
        <v>0</v>
      </c>
      <c r="H10" s="2">
        <f>($C$10/11)*10</f>
        <v>0</v>
      </c>
      <c r="I10" s="2">
        <f>$C$10</f>
        <v>0</v>
      </c>
      <c r="J10" s="2">
        <f>($C$10/9)*10</f>
        <v>0</v>
      </c>
      <c r="K10" s="2">
        <f>$C$10</f>
        <v>0</v>
      </c>
      <c r="L10" s="2">
        <f>$C$10</f>
        <v>0</v>
      </c>
    </row>
    <row r="11" spans="2:12">
      <c r="B11" s="1" t="s">
        <v>19</v>
      </c>
      <c r="C11" s="4"/>
      <c r="E11" s="2">
        <f>$C$11</f>
        <v>0</v>
      </c>
      <c r="F11" s="2">
        <f>($C$11/11)*10</f>
        <v>0</v>
      </c>
      <c r="G11" s="2">
        <f>$C$11</f>
        <v>0</v>
      </c>
      <c r="H11" s="2">
        <f>$C$11</f>
        <v>0</v>
      </c>
      <c r="I11" s="2">
        <f>($C$11/11)*10</f>
        <v>0</v>
      </c>
      <c r="J11" s="2">
        <f>$C$11</f>
        <v>0</v>
      </c>
      <c r="K11" s="2">
        <f>$C$11</f>
        <v>0</v>
      </c>
      <c r="L11" s="2">
        <f>($C$11/9)*10</f>
        <v>0</v>
      </c>
    </row>
    <row r="12" spans="2:12">
      <c r="B12" s="1" t="s">
        <v>20</v>
      </c>
      <c r="C12" s="4"/>
      <c r="E12" s="2">
        <f>$C$12</f>
        <v>0</v>
      </c>
      <c r="F12" s="2">
        <f>($C$12/11)*10</f>
        <v>0</v>
      </c>
      <c r="G12" s="2">
        <f>$C$12</f>
        <v>0</v>
      </c>
      <c r="H12" s="2">
        <f>$C$12</f>
        <v>0</v>
      </c>
      <c r="I12" s="2">
        <f>$C$12</f>
        <v>0</v>
      </c>
      <c r="J12" s="2">
        <f>($C$12/11)*10</f>
        <v>0</v>
      </c>
      <c r="K12" s="2">
        <f>($C$12/9)*10</f>
        <v>0</v>
      </c>
      <c r="L12" s="2">
        <f>$C$12</f>
        <v>0</v>
      </c>
    </row>
    <row r="13" spans="2:12">
      <c r="B13" s="1" t="s">
        <v>21</v>
      </c>
      <c r="C13" s="4"/>
      <c r="E13" s="2">
        <f>$C$13</f>
        <v>0</v>
      </c>
      <c r="F13" s="2">
        <f>($C$13/11)*10</f>
        <v>0</v>
      </c>
      <c r="G13" s="2">
        <f>$C$13</f>
        <v>0</v>
      </c>
      <c r="H13" s="2">
        <f>$C$13</f>
        <v>0</v>
      </c>
      <c r="I13" s="2">
        <f>($C$13/9)*10</f>
        <v>0</v>
      </c>
      <c r="J13" s="2">
        <f>$C$13</f>
        <v>0</v>
      </c>
      <c r="K13" s="2">
        <f>($C$13/11)*10</f>
        <v>0</v>
      </c>
      <c r="L13" s="2">
        <f>$C$13</f>
        <v>0</v>
      </c>
    </row>
    <row r="14" spans="2:12">
      <c r="B14" s="1" t="s">
        <v>22</v>
      </c>
      <c r="C14" s="4"/>
      <c r="E14" s="2">
        <f>$C$14</f>
        <v>0</v>
      </c>
      <c r="F14" s="2">
        <f>($C$14/11)*10</f>
        <v>0</v>
      </c>
      <c r="G14" s="2">
        <f>($C$14/9)*10</f>
        <v>0</v>
      </c>
      <c r="H14" s="2">
        <f>$C$14</f>
        <v>0</v>
      </c>
      <c r="I14" s="2">
        <f>$C$14</f>
        <v>0</v>
      </c>
      <c r="J14" s="2">
        <f>$C$14</f>
        <v>0</v>
      </c>
      <c r="K14" s="2">
        <f>$C$14</f>
        <v>0</v>
      </c>
      <c r="L14" s="2">
        <f>($C$14/11)*10</f>
        <v>0</v>
      </c>
    </row>
    <row r="16" spans="2:12">
      <c r="B16" s="15" t="s">
        <v>0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</row>
    <row r="18" spans="2:12">
      <c r="B18" s="1" t="s">
        <v>52</v>
      </c>
      <c r="H18" s="1" t="s">
        <v>51</v>
      </c>
    </row>
    <row r="20" spans="2:12" s="1" customFormat="1">
      <c r="B20" s="19" t="s">
        <v>25</v>
      </c>
      <c r="C20" s="5" t="s">
        <v>79</v>
      </c>
      <c r="D20" s="5" t="s">
        <v>80</v>
      </c>
      <c r="E20" s="5" t="s">
        <v>81</v>
      </c>
      <c r="F20" s="6" t="s">
        <v>50</v>
      </c>
      <c r="H20" s="19" t="s">
        <v>28</v>
      </c>
      <c r="I20" s="5" t="s">
        <v>79</v>
      </c>
      <c r="J20" s="5" t="s">
        <v>82</v>
      </c>
      <c r="K20" s="5" t="s">
        <v>83</v>
      </c>
      <c r="L20" s="6" t="s">
        <v>50</v>
      </c>
    </row>
    <row r="21" spans="2:12">
      <c r="B21" s="7" t="s">
        <v>17</v>
      </c>
      <c r="C21" s="8"/>
      <c r="D21" s="9">
        <f>C21*2.5</f>
        <v>0</v>
      </c>
      <c r="E21" s="9">
        <f>D21+(C21/2)</f>
        <v>0</v>
      </c>
      <c r="F21" s="10">
        <f>C21/2</f>
        <v>0</v>
      </c>
      <c r="H21" s="7" t="s">
        <v>64</v>
      </c>
      <c r="I21" s="9">
        <f>C21</f>
        <v>0</v>
      </c>
      <c r="J21" s="9">
        <f>I21*2.754</f>
        <v>0</v>
      </c>
      <c r="K21" s="9">
        <f>J21+(I21*0.55)</f>
        <v>0</v>
      </c>
      <c r="L21" s="10">
        <f>I21*0.55</f>
        <v>0</v>
      </c>
    </row>
    <row r="22" spans="2:12">
      <c r="B22" s="7" t="s">
        <v>18</v>
      </c>
      <c r="C22" s="8"/>
      <c r="D22" s="9">
        <f t="shared" ref="D22:D26" si="0">C22*2.5</f>
        <v>0</v>
      </c>
      <c r="E22" s="9">
        <f t="shared" ref="E22:E26" si="1">D22+(C22/2)</f>
        <v>0</v>
      </c>
      <c r="F22" s="10">
        <f t="shared" ref="F22:F26" si="2">C22/2</f>
        <v>0</v>
      </c>
      <c r="H22" s="7" t="s">
        <v>66</v>
      </c>
      <c r="I22" s="9">
        <f t="shared" ref="I22:I26" si="3">C22</f>
        <v>0</v>
      </c>
      <c r="J22" s="9">
        <f t="shared" ref="J22:J26" si="4">I22*2.754</f>
        <v>0</v>
      </c>
      <c r="K22" s="9">
        <f t="shared" ref="K22:K26" si="5">J22+(I22*0.55)</f>
        <v>0</v>
      </c>
      <c r="L22" s="10">
        <f t="shared" ref="L22:L26" si="6">I22*0.55</f>
        <v>0</v>
      </c>
    </row>
    <row r="23" spans="2:12">
      <c r="B23" s="7" t="s">
        <v>19</v>
      </c>
      <c r="C23" s="8"/>
      <c r="D23" s="9">
        <f t="shared" si="0"/>
        <v>0</v>
      </c>
      <c r="E23" s="9">
        <f t="shared" si="1"/>
        <v>0</v>
      </c>
      <c r="F23" s="10">
        <f t="shared" si="2"/>
        <v>0</v>
      </c>
      <c r="H23" s="7" t="s">
        <v>68</v>
      </c>
      <c r="I23" s="9">
        <f t="shared" si="3"/>
        <v>0</v>
      </c>
      <c r="J23" s="9">
        <f t="shared" si="4"/>
        <v>0</v>
      </c>
      <c r="K23" s="9">
        <f t="shared" si="5"/>
        <v>0</v>
      </c>
      <c r="L23" s="10">
        <f t="shared" si="6"/>
        <v>0</v>
      </c>
    </row>
    <row r="24" spans="2:12">
      <c r="B24" s="7" t="s">
        <v>20</v>
      </c>
      <c r="C24" s="8"/>
      <c r="D24" s="9">
        <f t="shared" si="0"/>
        <v>0</v>
      </c>
      <c r="E24" s="9">
        <f t="shared" si="1"/>
        <v>0</v>
      </c>
      <c r="F24" s="10">
        <f t="shared" si="2"/>
        <v>0</v>
      </c>
      <c r="H24" s="7" t="s">
        <v>70</v>
      </c>
      <c r="I24" s="9">
        <f t="shared" si="3"/>
        <v>0</v>
      </c>
      <c r="J24" s="9">
        <f t="shared" si="4"/>
        <v>0</v>
      </c>
      <c r="K24" s="9">
        <f t="shared" si="5"/>
        <v>0</v>
      </c>
      <c r="L24" s="10">
        <f t="shared" si="6"/>
        <v>0</v>
      </c>
    </row>
    <row r="25" spans="2:12">
      <c r="B25" s="7" t="s">
        <v>21</v>
      </c>
      <c r="C25" s="8"/>
      <c r="D25" s="9">
        <f t="shared" si="0"/>
        <v>0</v>
      </c>
      <c r="E25" s="9">
        <f t="shared" si="1"/>
        <v>0</v>
      </c>
      <c r="F25" s="10">
        <f t="shared" si="2"/>
        <v>0</v>
      </c>
      <c r="H25" s="7" t="s">
        <v>72</v>
      </c>
      <c r="I25" s="9">
        <f t="shared" si="3"/>
        <v>0</v>
      </c>
      <c r="J25" s="9">
        <f t="shared" si="4"/>
        <v>0</v>
      </c>
      <c r="K25" s="9">
        <f t="shared" si="5"/>
        <v>0</v>
      </c>
      <c r="L25" s="10">
        <f t="shared" si="6"/>
        <v>0</v>
      </c>
    </row>
    <row r="26" spans="2:12">
      <c r="B26" s="11" t="s">
        <v>22</v>
      </c>
      <c r="C26" s="12"/>
      <c r="D26" s="13">
        <f t="shared" si="0"/>
        <v>0</v>
      </c>
      <c r="E26" s="13">
        <f t="shared" si="1"/>
        <v>0</v>
      </c>
      <c r="F26" s="14">
        <f t="shared" si="2"/>
        <v>0</v>
      </c>
      <c r="H26" s="11" t="s">
        <v>73</v>
      </c>
      <c r="I26" s="13">
        <f t="shared" si="3"/>
        <v>0</v>
      </c>
      <c r="J26" s="13">
        <f t="shared" si="4"/>
        <v>0</v>
      </c>
      <c r="K26" s="13">
        <f t="shared" si="5"/>
        <v>0</v>
      </c>
      <c r="L26" s="14">
        <f t="shared" si="6"/>
        <v>0</v>
      </c>
    </row>
    <row r="28" spans="2:12" s="1" customFormat="1">
      <c r="B28" s="19" t="s">
        <v>26</v>
      </c>
      <c r="C28" s="5" t="s">
        <v>79</v>
      </c>
      <c r="D28" s="5" t="s">
        <v>80</v>
      </c>
      <c r="E28" s="5" t="s">
        <v>81</v>
      </c>
      <c r="F28" s="6" t="s">
        <v>50</v>
      </c>
      <c r="H28" s="19" t="s">
        <v>29</v>
      </c>
      <c r="I28" s="5" t="s">
        <v>79</v>
      </c>
      <c r="J28" s="5" t="s">
        <v>82</v>
      </c>
      <c r="K28" s="5" t="s">
        <v>83</v>
      </c>
      <c r="L28" s="6" t="s">
        <v>50</v>
      </c>
    </row>
    <row r="29" spans="2:12">
      <c r="B29" s="7" t="s">
        <v>17</v>
      </c>
      <c r="C29" s="9">
        <f>$C$21*1.1</f>
        <v>0</v>
      </c>
      <c r="D29" s="9">
        <f>C29*2.5</f>
        <v>0</v>
      </c>
      <c r="E29" s="9">
        <f>D29+(C29/2)</f>
        <v>0</v>
      </c>
      <c r="F29" s="10">
        <f>C29/2</f>
        <v>0</v>
      </c>
      <c r="H29" s="7" t="s">
        <v>39</v>
      </c>
      <c r="I29" s="9">
        <f>C29</f>
        <v>0</v>
      </c>
      <c r="J29" s="9">
        <f>I29*2.754</f>
        <v>0</v>
      </c>
      <c r="K29" s="9">
        <f>J29+(I29*0.55)</f>
        <v>0</v>
      </c>
      <c r="L29" s="10">
        <f>I29*0.55</f>
        <v>0</v>
      </c>
    </row>
    <row r="30" spans="2:12">
      <c r="B30" s="7" t="s">
        <v>18</v>
      </c>
      <c r="C30" s="9">
        <f>$C$22*1.1</f>
        <v>0</v>
      </c>
      <c r="D30" s="9">
        <f t="shared" ref="D30:D34" si="7">C30*2.5</f>
        <v>0</v>
      </c>
      <c r="E30" s="9">
        <f t="shared" ref="E30:E34" si="8">D30+(C30/2)</f>
        <v>0</v>
      </c>
      <c r="F30" s="10">
        <f t="shared" ref="F30:F34" si="9">C30/2</f>
        <v>0</v>
      </c>
      <c r="H30" s="7" t="s">
        <v>40</v>
      </c>
      <c r="I30" s="9">
        <f t="shared" ref="I30:I34" si="10">C30</f>
        <v>0</v>
      </c>
      <c r="J30" s="9">
        <f t="shared" ref="J30:J34" si="11">I30*2.754</f>
        <v>0</v>
      </c>
      <c r="K30" s="9">
        <f t="shared" ref="K30:K34" si="12">J30+(I30*0.55)</f>
        <v>0</v>
      </c>
      <c r="L30" s="10">
        <f t="shared" ref="L30:L34" si="13">I30*0.55</f>
        <v>0</v>
      </c>
    </row>
    <row r="31" spans="2:12">
      <c r="B31" s="7" t="s">
        <v>19</v>
      </c>
      <c r="C31" s="9">
        <f>$C$23*1.1</f>
        <v>0</v>
      </c>
      <c r="D31" s="9">
        <f t="shared" si="7"/>
        <v>0</v>
      </c>
      <c r="E31" s="9">
        <f t="shared" si="8"/>
        <v>0</v>
      </c>
      <c r="F31" s="10">
        <f t="shared" si="9"/>
        <v>0</v>
      </c>
      <c r="H31" s="7" t="s">
        <v>41</v>
      </c>
      <c r="I31" s="9">
        <f t="shared" si="10"/>
        <v>0</v>
      </c>
      <c r="J31" s="9">
        <f t="shared" si="11"/>
        <v>0</v>
      </c>
      <c r="K31" s="9">
        <f t="shared" si="12"/>
        <v>0</v>
      </c>
      <c r="L31" s="10">
        <f t="shared" si="13"/>
        <v>0</v>
      </c>
    </row>
    <row r="32" spans="2:12">
      <c r="B32" s="7" t="s">
        <v>20</v>
      </c>
      <c r="C32" s="9">
        <f>$C$24*1.1</f>
        <v>0</v>
      </c>
      <c r="D32" s="9">
        <f t="shared" si="7"/>
        <v>0</v>
      </c>
      <c r="E32" s="9">
        <f t="shared" si="8"/>
        <v>0</v>
      </c>
      <c r="F32" s="10">
        <f t="shared" si="9"/>
        <v>0</v>
      </c>
      <c r="H32" s="7" t="s">
        <v>42</v>
      </c>
      <c r="I32" s="9">
        <f t="shared" si="10"/>
        <v>0</v>
      </c>
      <c r="J32" s="9">
        <f t="shared" si="11"/>
        <v>0</v>
      </c>
      <c r="K32" s="9">
        <f t="shared" si="12"/>
        <v>0</v>
      </c>
      <c r="L32" s="10">
        <f t="shared" si="13"/>
        <v>0</v>
      </c>
    </row>
    <row r="33" spans="2:12">
      <c r="B33" s="7" t="s">
        <v>21</v>
      </c>
      <c r="C33" s="9">
        <f>$C$25*1.1</f>
        <v>0</v>
      </c>
      <c r="D33" s="9">
        <f t="shared" si="7"/>
        <v>0</v>
      </c>
      <c r="E33" s="9">
        <f t="shared" si="8"/>
        <v>0</v>
      </c>
      <c r="F33" s="10">
        <f t="shared" si="9"/>
        <v>0</v>
      </c>
      <c r="H33" s="7" t="s">
        <v>43</v>
      </c>
      <c r="I33" s="9">
        <f t="shared" si="10"/>
        <v>0</v>
      </c>
      <c r="J33" s="9">
        <f t="shared" si="11"/>
        <v>0</v>
      </c>
      <c r="K33" s="9">
        <f t="shared" si="12"/>
        <v>0</v>
      </c>
      <c r="L33" s="10">
        <f t="shared" si="13"/>
        <v>0</v>
      </c>
    </row>
    <row r="34" spans="2:12">
      <c r="B34" s="11" t="s">
        <v>22</v>
      </c>
      <c r="C34" s="13">
        <f>$C$26*1.1</f>
        <v>0</v>
      </c>
      <c r="D34" s="13">
        <f t="shared" si="7"/>
        <v>0</v>
      </c>
      <c r="E34" s="13">
        <f t="shared" si="8"/>
        <v>0</v>
      </c>
      <c r="F34" s="14">
        <f t="shared" si="9"/>
        <v>0</v>
      </c>
      <c r="H34" s="11" t="s">
        <v>22</v>
      </c>
      <c r="I34" s="13">
        <f t="shared" si="10"/>
        <v>0</v>
      </c>
      <c r="J34" s="13">
        <f t="shared" si="11"/>
        <v>0</v>
      </c>
      <c r="K34" s="13">
        <f t="shared" si="12"/>
        <v>0</v>
      </c>
      <c r="L34" s="14">
        <f t="shared" si="13"/>
        <v>0</v>
      </c>
    </row>
    <row r="36" spans="2:12" s="1" customFormat="1">
      <c r="B36" s="19" t="s">
        <v>85</v>
      </c>
      <c r="C36" s="5" t="s">
        <v>79</v>
      </c>
      <c r="D36" s="5" t="s">
        <v>80</v>
      </c>
      <c r="E36" s="5" t="s">
        <v>81</v>
      </c>
      <c r="F36" s="6" t="s">
        <v>50</v>
      </c>
      <c r="H36" s="19" t="s">
        <v>84</v>
      </c>
      <c r="I36" s="5" t="s">
        <v>79</v>
      </c>
      <c r="J36" s="5" t="s">
        <v>82</v>
      </c>
      <c r="K36" s="5" t="s">
        <v>83</v>
      </c>
      <c r="L36" s="6" t="s">
        <v>50</v>
      </c>
    </row>
    <row r="37" spans="2:12">
      <c r="B37" s="7" t="s">
        <v>4</v>
      </c>
      <c r="C37" s="9">
        <f>$C$21*1.1</f>
        <v>0</v>
      </c>
      <c r="D37" s="9">
        <f>C37*2.5</f>
        <v>0</v>
      </c>
      <c r="E37" s="9">
        <f>D37+(C37/2)</f>
        <v>0</v>
      </c>
      <c r="F37" s="10">
        <f>C37/2</f>
        <v>0</v>
      </c>
      <c r="H37" s="7" t="s">
        <v>4</v>
      </c>
      <c r="I37" s="9">
        <f>$C$21*1.15</f>
        <v>0</v>
      </c>
      <c r="J37" s="9">
        <f>I37*2.754</f>
        <v>0</v>
      </c>
      <c r="K37" s="9">
        <f>J37+(I37*0.55)</f>
        <v>0</v>
      </c>
      <c r="L37" s="10">
        <f>I37*0.55</f>
        <v>0</v>
      </c>
    </row>
    <row r="38" spans="2:12">
      <c r="B38" s="7" t="s">
        <v>5</v>
      </c>
      <c r="C38" s="9">
        <f>$C$22</f>
        <v>0</v>
      </c>
      <c r="D38" s="9">
        <f t="shared" ref="D38:D42" si="14">C38*2.5</f>
        <v>0</v>
      </c>
      <c r="E38" s="9">
        <f t="shared" ref="E38:E42" si="15">D38+(C38/2)</f>
        <v>0</v>
      </c>
      <c r="F38" s="10">
        <f t="shared" ref="F38:F42" si="16">C38/2</f>
        <v>0</v>
      </c>
      <c r="H38" s="7" t="s">
        <v>5</v>
      </c>
      <c r="I38" s="9">
        <f>$C$22</f>
        <v>0</v>
      </c>
      <c r="J38" s="9">
        <f t="shared" ref="J38:J42" si="17">I38*2.754</f>
        <v>0</v>
      </c>
      <c r="K38" s="9">
        <f t="shared" ref="K38:K42" si="18">J38+(I38*0.55)</f>
        <v>0</v>
      </c>
      <c r="L38" s="10">
        <f t="shared" ref="L38:L42" si="19">I38*0.55</f>
        <v>0</v>
      </c>
    </row>
    <row r="39" spans="2:12">
      <c r="B39" s="7" t="s">
        <v>6</v>
      </c>
      <c r="C39" s="9">
        <f>$C$23</f>
        <v>0</v>
      </c>
      <c r="D39" s="9">
        <f t="shared" si="14"/>
        <v>0</v>
      </c>
      <c r="E39" s="9">
        <f t="shared" si="15"/>
        <v>0</v>
      </c>
      <c r="F39" s="10">
        <f t="shared" si="16"/>
        <v>0</v>
      </c>
      <c r="H39" s="7" t="s">
        <v>6</v>
      </c>
      <c r="I39" s="9">
        <f>$C$23</f>
        <v>0</v>
      </c>
      <c r="J39" s="9">
        <f t="shared" si="17"/>
        <v>0</v>
      </c>
      <c r="K39" s="9">
        <f t="shared" si="18"/>
        <v>0</v>
      </c>
      <c r="L39" s="10">
        <f t="shared" si="19"/>
        <v>0</v>
      </c>
    </row>
    <row r="40" spans="2:12">
      <c r="B40" s="7" t="s">
        <v>1</v>
      </c>
      <c r="C40" s="9">
        <f>$C$24</f>
        <v>0</v>
      </c>
      <c r="D40" s="9">
        <f t="shared" si="14"/>
        <v>0</v>
      </c>
      <c r="E40" s="9">
        <f t="shared" si="15"/>
        <v>0</v>
      </c>
      <c r="F40" s="10">
        <f t="shared" si="16"/>
        <v>0</v>
      </c>
      <c r="H40" s="7" t="s">
        <v>1</v>
      </c>
      <c r="I40" s="9">
        <f>$C$24</f>
        <v>0</v>
      </c>
      <c r="J40" s="9">
        <f t="shared" si="17"/>
        <v>0</v>
      </c>
      <c r="K40" s="9">
        <f t="shared" si="18"/>
        <v>0</v>
      </c>
      <c r="L40" s="10">
        <f t="shared" si="19"/>
        <v>0</v>
      </c>
    </row>
    <row r="41" spans="2:12">
      <c r="B41" s="7" t="s">
        <v>2</v>
      </c>
      <c r="C41" s="9">
        <f>$C$25</f>
        <v>0</v>
      </c>
      <c r="D41" s="9">
        <f t="shared" si="14"/>
        <v>0</v>
      </c>
      <c r="E41" s="9">
        <f t="shared" si="15"/>
        <v>0</v>
      </c>
      <c r="F41" s="10">
        <f t="shared" si="16"/>
        <v>0</v>
      </c>
      <c r="H41" s="7" t="s">
        <v>2</v>
      </c>
      <c r="I41" s="9">
        <f>$C$25</f>
        <v>0</v>
      </c>
      <c r="J41" s="9">
        <f t="shared" si="17"/>
        <v>0</v>
      </c>
      <c r="K41" s="9">
        <f t="shared" si="18"/>
        <v>0</v>
      </c>
      <c r="L41" s="10">
        <f t="shared" si="19"/>
        <v>0</v>
      </c>
    </row>
    <row r="42" spans="2:12">
      <c r="B42" s="11" t="s">
        <v>3</v>
      </c>
      <c r="C42" s="13">
        <f>$C$26*0.9</f>
        <v>0</v>
      </c>
      <c r="D42" s="13">
        <f t="shared" si="14"/>
        <v>0</v>
      </c>
      <c r="E42" s="13">
        <f t="shared" si="15"/>
        <v>0</v>
      </c>
      <c r="F42" s="14">
        <f t="shared" si="16"/>
        <v>0</v>
      </c>
      <c r="H42" s="11" t="s">
        <v>3</v>
      </c>
      <c r="I42" s="13">
        <f>$C$26*0.85</f>
        <v>0</v>
      </c>
      <c r="J42" s="13">
        <f t="shared" si="17"/>
        <v>0</v>
      </c>
      <c r="K42" s="13">
        <f t="shared" si="18"/>
        <v>0</v>
      </c>
      <c r="L42" s="14">
        <f t="shared" si="19"/>
        <v>0</v>
      </c>
    </row>
    <row r="44" spans="2:12" s="1" customFormat="1">
      <c r="B44" s="19" t="s">
        <v>27</v>
      </c>
      <c r="C44" s="5" t="s">
        <v>79</v>
      </c>
      <c r="D44" s="5" t="s">
        <v>80</v>
      </c>
      <c r="E44" s="5" t="s">
        <v>81</v>
      </c>
      <c r="F44" s="6" t="s">
        <v>50</v>
      </c>
      <c r="H44" s="19" t="s">
        <v>30</v>
      </c>
      <c r="I44" s="5" t="s">
        <v>79</v>
      </c>
      <c r="J44" s="5" t="s">
        <v>82</v>
      </c>
      <c r="K44" s="5" t="s">
        <v>83</v>
      </c>
      <c r="L44" s="6" t="s">
        <v>50</v>
      </c>
    </row>
    <row r="45" spans="2:12">
      <c r="B45" s="7" t="s">
        <v>17</v>
      </c>
      <c r="C45" s="9">
        <f>$C$21*0.9</f>
        <v>0</v>
      </c>
      <c r="D45" s="9">
        <f>C45*2.5</f>
        <v>0</v>
      </c>
      <c r="E45" s="9">
        <f>D45+(C45/2)</f>
        <v>0</v>
      </c>
      <c r="F45" s="10">
        <f>C45/2</f>
        <v>0</v>
      </c>
      <c r="H45" s="7" t="s">
        <v>39</v>
      </c>
      <c r="I45" s="9">
        <f>$C$21*0.85</f>
        <v>0</v>
      </c>
      <c r="J45" s="9">
        <f>I45*2.754</f>
        <v>0</v>
      </c>
      <c r="K45" s="9">
        <f>J45+(I45*0.55)</f>
        <v>0</v>
      </c>
      <c r="L45" s="10">
        <f>I45*0.55</f>
        <v>0</v>
      </c>
    </row>
    <row r="46" spans="2:12">
      <c r="B46" s="7" t="s">
        <v>18</v>
      </c>
      <c r="C46" s="9">
        <f>$C$22*1.1</f>
        <v>0</v>
      </c>
      <c r="D46" s="9">
        <f t="shared" ref="D46:D50" si="20">C46*2.5</f>
        <v>0</v>
      </c>
      <c r="E46" s="9">
        <f t="shared" ref="E46:E50" si="21">D46+(C46/2)</f>
        <v>0</v>
      </c>
      <c r="F46" s="10">
        <f t="shared" ref="F46:F50" si="22">C46/2</f>
        <v>0</v>
      </c>
      <c r="H46" s="7" t="s">
        <v>40</v>
      </c>
      <c r="I46" s="9">
        <f>$C$22*1.15</f>
        <v>0</v>
      </c>
      <c r="J46" s="9">
        <f t="shared" ref="J46:J50" si="23">I46*2.754</f>
        <v>0</v>
      </c>
      <c r="K46" s="9">
        <f t="shared" ref="K46:K50" si="24">J46+(I46*0.55)</f>
        <v>0</v>
      </c>
      <c r="L46" s="10">
        <f t="shared" ref="L46:L50" si="25">I46*0.55</f>
        <v>0</v>
      </c>
    </row>
    <row r="47" spans="2:12">
      <c r="B47" s="7" t="s">
        <v>19</v>
      </c>
      <c r="C47" s="9">
        <f>$C$23</f>
        <v>0</v>
      </c>
      <c r="D47" s="9">
        <f t="shared" si="20"/>
        <v>0</v>
      </c>
      <c r="E47" s="9">
        <f t="shared" si="21"/>
        <v>0</v>
      </c>
      <c r="F47" s="10">
        <f t="shared" si="22"/>
        <v>0</v>
      </c>
      <c r="H47" s="7" t="s">
        <v>41</v>
      </c>
      <c r="I47" s="9">
        <f>$C$23</f>
        <v>0</v>
      </c>
      <c r="J47" s="9">
        <f t="shared" si="23"/>
        <v>0</v>
      </c>
      <c r="K47" s="9">
        <f t="shared" si="24"/>
        <v>0</v>
      </c>
      <c r="L47" s="10">
        <f t="shared" si="25"/>
        <v>0</v>
      </c>
    </row>
    <row r="48" spans="2:12">
      <c r="B48" s="7" t="s">
        <v>20</v>
      </c>
      <c r="C48" s="9">
        <f>$C$24</f>
        <v>0</v>
      </c>
      <c r="D48" s="9">
        <f t="shared" si="20"/>
        <v>0</v>
      </c>
      <c r="E48" s="9">
        <f t="shared" si="21"/>
        <v>0</v>
      </c>
      <c r="F48" s="10">
        <f t="shared" si="22"/>
        <v>0</v>
      </c>
      <c r="H48" s="7" t="s">
        <v>42</v>
      </c>
      <c r="I48" s="9">
        <f>$C$24</f>
        <v>0</v>
      </c>
      <c r="J48" s="9">
        <f t="shared" si="23"/>
        <v>0</v>
      </c>
      <c r="K48" s="9">
        <f t="shared" si="24"/>
        <v>0</v>
      </c>
      <c r="L48" s="10">
        <f t="shared" si="25"/>
        <v>0</v>
      </c>
    </row>
    <row r="49" spans="2:12">
      <c r="B49" s="7" t="s">
        <v>21</v>
      </c>
      <c r="C49" s="9">
        <f>$C$25</f>
        <v>0</v>
      </c>
      <c r="D49" s="9">
        <f t="shared" si="20"/>
        <v>0</v>
      </c>
      <c r="E49" s="9">
        <f t="shared" si="21"/>
        <v>0</v>
      </c>
      <c r="F49" s="10">
        <f t="shared" si="22"/>
        <v>0</v>
      </c>
      <c r="H49" s="7" t="s">
        <v>43</v>
      </c>
      <c r="I49" s="9">
        <f>$C$25</f>
        <v>0</v>
      </c>
      <c r="J49" s="9">
        <f t="shared" si="23"/>
        <v>0</v>
      </c>
      <c r="K49" s="9">
        <f t="shared" si="24"/>
        <v>0</v>
      </c>
      <c r="L49" s="10">
        <f t="shared" si="25"/>
        <v>0</v>
      </c>
    </row>
    <row r="50" spans="2:12">
      <c r="B50" s="11" t="s">
        <v>22</v>
      </c>
      <c r="C50" s="13">
        <f>$C$26</f>
        <v>0</v>
      </c>
      <c r="D50" s="13">
        <f t="shared" si="20"/>
        <v>0</v>
      </c>
      <c r="E50" s="13">
        <f t="shared" si="21"/>
        <v>0</v>
      </c>
      <c r="F50" s="14">
        <f t="shared" si="22"/>
        <v>0</v>
      </c>
      <c r="H50" s="11" t="s">
        <v>44</v>
      </c>
      <c r="I50" s="13">
        <f>$C$26</f>
        <v>0</v>
      </c>
      <c r="J50" s="13">
        <f t="shared" si="23"/>
        <v>0</v>
      </c>
      <c r="K50" s="13">
        <f t="shared" si="24"/>
        <v>0</v>
      </c>
      <c r="L50" s="14">
        <f t="shared" si="25"/>
        <v>0</v>
      </c>
    </row>
    <row r="52" spans="2:12" s="1" customFormat="1">
      <c r="B52" s="19" t="s">
        <v>31</v>
      </c>
      <c r="C52" s="5" t="s">
        <v>79</v>
      </c>
      <c r="D52" s="5" t="s">
        <v>80</v>
      </c>
      <c r="E52" s="5" t="s">
        <v>81</v>
      </c>
      <c r="F52" s="6" t="s">
        <v>50</v>
      </c>
      <c r="H52" s="19" t="s">
        <v>35</v>
      </c>
      <c r="I52" s="5" t="s">
        <v>79</v>
      </c>
      <c r="J52" s="5" t="s">
        <v>82</v>
      </c>
      <c r="K52" s="5" t="s">
        <v>83</v>
      </c>
      <c r="L52" s="6" t="s">
        <v>50</v>
      </c>
    </row>
    <row r="53" spans="2:12">
      <c r="B53" s="7" t="s">
        <v>65</v>
      </c>
      <c r="C53" s="9">
        <f>$C$21</f>
        <v>0</v>
      </c>
      <c r="D53" s="9">
        <f>C53*2.5</f>
        <v>0</v>
      </c>
      <c r="E53" s="9">
        <f>D53+(C53/2)</f>
        <v>0</v>
      </c>
      <c r="F53" s="10">
        <f>C53/2</f>
        <v>0</v>
      </c>
      <c r="H53" s="7" t="s">
        <v>45</v>
      </c>
      <c r="I53" s="9">
        <f>$C$21</f>
        <v>0</v>
      </c>
      <c r="J53" s="9">
        <f>I53*2.754</f>
        <v>0</v>
      </c>
      <c r="K53" s="9">
        <f>J53+(I53*0.55)</f>
        <v>0</v>
      </c>
      <c r="L53" s="10">
        <f>I53*0.55</f>
        <v>0</v>
      </c>
    </row>
    <row r="54" spans="2:12">
      <c r="B54" s="7" t="s">
        <v>67</v>
      </c>
      <c r="C54" s="9">
        <f>$C$22</f>
        <v>0</v>
      </c>
      <c r="D54" s="9">
        <f t="shared" ref="D54:D58" si="26">C54*2.5</f>
        <v>0</v>
      </c>
      <c r="E54" s="9">
        <f t="shared" ref="E54:E58" si="27">D54+(C54/2)</f>
        <v>0</v>
      </c>
      <c r="F54" s="10">
        <f t="shared" ref="F54:F58" si="28">C54/2</f>
        <v>0</v>
      </c>
      <c r="H54" s="7" t="s">
        <v>67</v>
      </c>
      <c r="I54" s="9">
        <f>$C$22</f>
        <v>0</v>
      </c>
      <c r="J54" s="9">
        <f t="shared" ref="J54:J58" si="29">I54*2.754</f>
        <v>0</v>
      </c>
      <c r="K54" s="9">
        <f t="shared" ref="K54:K58" si="30">J54+(I54*0.55)</f>
        <v>0</v>
      </c>
      <c r="L54" s="10">
        <f t="shared" ref="L54:L58" si="31">I54*0.55</f>
        <v>0</v>
      </c>
    </row>
    <row r="55" spans="2:12">
      <c r="B55" s="7" t="s">
        <v>69</v>
      </c>
      <c r="C55" s="9">
        <f>$C$23*1.1</f>
        <v>0</v>
      </c>
      <c r="D55" s="9">
        <f t="shared" si="26"/>
        <v>0</v>
      </c>
      <c r="E55" s="9">
        <f t="shared" si="27"/>
        <v>0</v>
      </c>
      <c r="F55" s="10">
        <f t="shared" si="28"/>
        <v>0</v>
      </c>
      <c r="H55" s="7" t="s">
        <v>69</v>
      </c>
      <c r="I55" s="9">
        <f>$C$23*1.15</f>
        <v>0</v>
      </c>
      <c r="J55" s="9">
        <f t="shared" si="29"/>
        <v>0</v>
      </c>
      <c r="K55" s="9">
        <f t="shared" si="30"/>
        <v>0</v>
      </c>
      <c r="L55" s="10">
        <f t="shared" si="31"/>
        <v>0</v>
      </c>
    </row>
    <row r="56" spans="2:12">
      <c r="B56" s="7" t="s">
        <v>71</v>
      </c>
      <c r="C56" s="9">
        <f>$C$24</f>
        <v>0</v>
      </c>
      <c r="D56" s="9">
        <f t="shared" si="26"/>
        <v>0</v>
      </c>
      <c r="E56" s="9">
        <f t="shared" si="27"/>
        <v>0</v>
      </c>
      <c r="F56" s="10">
        <f t="shared" si="28"/>
        <v>0</v>
      </c>
      <c r="H56" s="7" t="s">
        <v>71</v>
      </c>
      <c r="I56" s="9">
        <f>$C$24</f>
        <v>0</v>
      </c>
      <c r="J56" s="9">
        <f t="shared" si="29"/>
        <v>0</v>
      </c>
      <c r="K56" s="9">
        <f t="shared" si="30"/>
        <v>0</v>
      </c>
      <c r="L56" s="10">
        <f t="shared" si="31"/>
        <v>0</v>
      </c>
    </row>
    <row r="57" spans="2:12">
      <c r="B57" s="7" t="s">
        <v>23</v>
      </c>
      <c r="C57" s="9">
        <f>$C$25*0.9</f>
        <v>0</v>
      </c>
      <c r="D57" s="9">
        <f t="shared" si="26"/>
        <v>0</v>
      </c>
      <c r="E57" s="9">
        <f t="shared" si="27"/>
        <v>0</v>
      </c>
      <c r="F57" s="10">
        <f t="shared" si="28"/>
        <v>0</v>
      </c>
      <c r="H57" s="7" t="s">
        <v>23</v>
      </c>
      <c r="I57" s="9">
        <f>$C$25*0.85</f>
        <v>0</v>
      </c>
      <c r="J57" s="9">
        <f t="shared" si="29"/>
        <v>0</v>
      </c>
      <c r="K57" s="9">
        <f t="shared" si="30"/>
        <v>0</v>
      </c>
      <c r="L57" s="10">
        <f t="shared" si="31"/>
        <v>0</v>
      </c>
    </row>
    <row r="58" spans="2:12">
      <c r="B58" s="11" t="s">
        <v>74</v>
      </c>
      <c r="C58" s="13">
        <f>$C$26</f>
        <v>0</v>
      </c>
      <c r="D58" s="13">
        <f t="shared" si="26"/>
        <v>0</v>
      </c>
      <c r="E58" s="13">
        <f t="shared" si="27"/>
        <v>0</v>
      </c>
      <c r="F58" s="14">
        <f t="shared" si="28"/>
        <v>0</v>
      </c>
      <c r="H58" s="11" t="s">
        <v>74</v>
      </c>
      <c r="I58" s="13">
        <f>$C$26</f>
        <v>0</v>
      </c>
      <c r="J58" s="13">
        <f t="shared" si="29"/>
        <v>0</v>
      </c>
      <c r="K58" s="13">
        <f t="shared" si="30"/>
        <v>0</v>
      </c>
      <c r="L58" s="14">
        <f t="shared" si="31"/>
        <v>0</v>
      </c>
    </row>
    <row r="60" spans="2:12" s="1" customFormat="1">
      <c r="B60" s="19" t="s">
        <v>32</v>
      </c>
      <c r="C60" s="5" t="s">
        <v>79</v>
      </c>
      <c r="D60" s="5" t="s">
        <v>80</v>
      </c>
      <c r="E60" s="5" t="s">
        <v>81</v>
      </c>
      <c r="F60" s="6" t="s">
        <v>50</v>
      </c>
      <c r="H60" s="19" t="s">
        <v>36</v>
      </c>
      <c r="I60" s="5" t="s">
        <v>79</v>
      </c>
      <c r="J60" s="5" t="s">
        <v>82</v>
      </c>
      <c r="K60" s="5" t="s">
        <v>83</v>
      </c>
      <c r="L60" s="6" t="s">
        <v>50</v>
      </c>
    </row>
    <row r="61" spans="2:12">
      <c r="B61" s="7" t="s">
        <v>17</v>
      </c>
      <c r="C61" s="9">
        <f>$C$21</f>
        <v>0</v>
      </c>
      <c r="D61" s="9">
        <f>C61*2.5</f>
        <v>0</v>
      </c>
      <c r="E61" s="9">
        <f>D61+(C61/2)</f>
        <v>0</v>
      </c>
      <c r="F61" s="10">
        <f>C61/2</f>
        <v>0</v>
      </c>
      <c r="H61" s="7" t="s">
        <v>46</v>
      </c>
      <c r="I61" s="9">
        <f>$C$21</f>
        <v>0</v>
      </c>
      <c r="J61" s="9">
        <f>I61*2.754</f>
        <v>0</v>
      </c>
      <c r="K61" s="9">
        <f>J61+(I61*0.55)</f>
        <v>0</v>
      </c>
      <c r="L61" s="10">
        <f>I61*0.55</f>
        <v>0</v>
      </c>
    </row>
    <row r="62" spans="2:12">
      <c r="B62" s="7" t="s">
        <v>18</v>
      </c>
      <c r="C62" s="9">
        <f>$C$22*0.9</f>
        <v>0</v>
      </c>
      <c r="D62" s="9">
        <f t="shared" ref="D62:D66" si="32">C62*2.5</f>
        <v>0</v>
      </c>
      <c r="E62" s="9">
        <f t="shared" ref="E62:E66" si="33">D62+(C62/2)</f>
        <v>0</v>
      </c>
      <c r="F62" s="10">
        <f t="shared" ref="F62:F66" si="34">C62/2</f>
        <v>0</v>
      </c>
      <c r="H62" s="7" t="s">
        <v>47</v>
      </c>
      <c r="I62" s="9">
        <f>$C$22*0.85</f>
        <v>0</v>
      </c>
      <c r="J62" s="9">
        <f t="shared" ref="J62:J66" si="35">I62*2.754</f>
        <v>0</v>
      </c>
      <c r="K62" s="9">
        <f t="shared" ref="K62:K66" si="36">J62+(I62*0.55)</f>
        <v>0</v>
      </c>
      <c r="L62" s="10">
        <f t="shared" ref="L62:L66" si="37">I62*0.55</f>
        <v>0</v>
      </c>
    </row>
    <row r="63" spans="2:12">
      <c r="B63" s="7" t="s">
        <v>19</v>
      </c>
      <c r="C63" s="9">
        <f>$C$23</f>
        <v>0</v>
      </c>
      <c r="D63" s="9">
        <f t="shared" si="32"/>
        <v>0</v>
      </c>
      <c r="E63" s="9">
        <f t="shared" si="33"/>
        <v>0</v>
      </c>
      <c r="F63" s="10">
        <f t="shared" si="34"/>
        <v>0</v>
      </c>
      <c r="H63" s="7" t="s">
        <v>48</v>
      </c>
      <c r="I63" s="9">
        <f>$C$23*1.15</f>
        <v>0</v>
      </c>
      <c r="J63" s="9">
        <f t="shared" si="35"/>
        <v>0</v>
      </c>
      <c r="K63" s="9">
        <f t="shared" si="36"/>
        <v>0</v>
      </c>
      <c r="L63" s="10">
        <f t="shared" si="37"/>
        <v>0</v>
      </c>
    </row>
    <row r="64" spans="2:12">
      <c r="B64" s="7" t="s">
        <v>20</v>
      </c>
      <c r="C64" s="9">
        <f>$C$24*1.1</f>
        <v>0</v>
      </c>
      <c r="D64" s="9">
        <f t="shared" si="32"/>
        <v>0</v>
      </c>
      <c r="E64" s="9">
        <f t="shared" si="33"/>
        <v>0</v>
      </c>
      <c r="F64" s="10">
        <f t="shared" si="34"/>
        <v>0</v>
      </c>
      <c r="H64" s="7" t="s">
        <v>1</v>
      </c>
      <c r="I64" s="9">
        <f>$C$24</f>
        <v>0</v>
      </c>
      <c r="J64" s="9">
        <f t="shared" si="35"/>
        <v>0</v>
      </c>
      <c r="K64" s="9">
        <f t="shared" si="36"/>
        <v>0</v>
      </c>
      <c r="L64" s="10">
        <f t="shared" si="37"/>
        <v>0</v>
      </c>
    </row>
    <row r="65" spans="2:12">
      <c r="B65" s="7" t="s">
        <v>21</v>
      </c>
      <c r="C65" s="9">
        <f>$C$25</f>
        <v>0</v>
      </c>
      <c r="D65" s="9">
        <f t="shared" si="32"/>
        <v>0</v>
      </c>
      <c r="E65" s="9">
        <f t="shared" si="33"/>
        <v>0</v>
      </c>
      <c r="F65" s="10">
        <f t="shared" si="34"/>
        <v>0</v>
      </c>
      <c r="H65" s="7" t="s">
        <v>2</v>
      </c>
      <c r="I65" s="9">
        <f>$C$25</f>
        <v>0</v>
      </c>
      <c r="J65" s="9">
        <f t="shared" si="35"/>
        <v>0</v>
      </c>
      <c r="K65" s="9">
        <f t="shared" si="36"/>
        <v>0</v>
      </c>
      <c r="L65" s="10">
        <f t="shared" si="37"/>
        <v>0</v>
      </c>
    </row>
    <row r="66" spans="2:12">
      <c r="B66" s="11" t="s">
        <v>22</v>
      </c>
      <c r="C66" s="13">
        <f>$C$26</f>
        <v>0</v>
      </c>
      <c r="D66" s="13">
        <f t="shared" si="32"/>
        <v>0</v>
      </c>
      <c r="E66" s="13">
        <f t="shared" si="33"/>
        <v>0</v>
      </c>
      <c r="F66" s="14">
        <f t="shared" si="34"/>
        <v>0</v>
      </c>
      <c r="H66" s="11" t="s">
        <v>3</v>
      </c>
      <c r="I66" s="13">
        <f>$C$26</f>
        <v>0</v>
      </c>
      <c r="J66" s="13">
        <f t="shared" si="35"/>
        <v>0</v>
      </c>
      <c r="K66" s="13">
        <f t="shared" si="36"/>
        <v>0</v>
      </c>
      <c r="L66" s="14">
        <f t="shared" si="37"/>
        <v>0</v>
      </c>
    </row>
    <row r="68" spans="2:12" s="1" customFormat="1">
      <c r="B68" s="19" t="s">
        <v>33</v>
      </c>
      <c r="C68" s="5" t="s">
        <v>79</v>
      </c>
      <c r="D68" s="5" t="s">
        <v>80</v>
      </c>
      <c r="E68" s="5" t="s">
        <v>81</v>
      </c>
      <c r="F68" s="6" t="s">
        <v>50</v>
      </c>
      <c r="H68" s="19" t="s">
        <v>37</v>
      </c>
      <c r="I68" s="5" t="s">
        <v>79</v>
      </c>
      <c r="J68" s="5" t="s">
        <v>82</v>
      </c>
      <c r="K68" s="5" t="s">
        <v>83</v>
      </c>
      <c r="L68" s="6" t="s">
        <v>50</v>
      </c>
    </row>
    <row r="69" spans="2:12">
      <c r="B69" s="7" t="s">
        <v>17</v>
      </c>
      <c r="C69" s="9">
        <f>$C$21</f>
        <v>0</v>
      </c>
      <c r="D69" s="9">
        <f>C69*2.5</f>
        <v>0</v>
      </c>
      <c r="E69" s="9">
        <f>D69+(C69/2)</f>
        <v>0</v>
      </c>
      <c r="F69" s="10">
        <f>C69/2</f>
        <v>0</v>
      </c>
      <c r="H69" s="7" t="s">
        <v>4</v>
      </c>
      <c r="I69" s="9">
        <f>$C$21</f>
        <v>0</v>
      </c>
      <c r="J69" s="9">
        <f>I69*2.754</f>
        <v>0</v>
      </c>
      <c r="K69" s="9">
        <f>J69+(I69*0.55)</f>
        <v>0</v>
      </c>
      <c r="L69" s="10">
        <f>I69*0.55</f>
        <v>0</v>
      </c>
    </row>
    <row r="70" spans="2:12">
      <c r="B70" s="7" t="s">
        <v>18</v>
      </c>
      <c r="C70" s="9">
        <f>$C$22</f>
        <v>0</v>
      </c>
      <c r="D70" s="9">
        <f t="shared" ref="D70:D74" si="38">C70*2.5</f>
        <v>0</v>
      </c>
      <c r="E70" s="9">
        <f t="shared" ref="E70:E74" si="39">D70+(C70/2)</f>
        <v>0</v>
      </c>
      <c r="F70" s="10">
        <f t="shared" ref="F70:F74" si="40">C70/2</f>
        <v>0</v>
      </c>
      <c r="H70" s="7" t="s">
        <v>5</v>
      </c>
      <c r="I70" s="9">
        <f>$C$22</f>
        <v>0</v>
      </c>
      <c r="J70" s="9">
        <f t="shared" ref="J70:J74" si="41">I70*2.754</f>
        <v>0</v>
      </c>
      <c r="K70" s="9">
        <f t="shared" ref="K70:K74" si="42">J70+(I70*0.55)</f>
        <v>0</v>
      </c>
      <c r="L70" s="10">
        <f t="shared" ref="L70:L74" si="43">I70*0.55</f>
        <v>0</v>
      </c>
    </row>
    <row r="71" spans="2:12">
      <c r="B71" s="7" t="s">
        <v>19</v>
      </c>
      <c r="C71" s="9">
        <f>$C$23</f>
        <v>0</v>
      </c>
      <c r="D71" s="9">
        <f t="shared" si="38"/>
        <v>0</v>
      </c>
      <c r="E71" s="9">
        <f t="shared" si="39"/>
        <v>0</v>
      </c>
      <c r="F71" s="10">
        <f t="shared" si="40"/>
        <v>0</v>
      </c>
      <c r="H71" s="7" t="s">
        <v>6</v>
      </c>
      <c r="I71" s="9">
        <f>$C$23</f>
        <v>0</v>
      </c>
      <c r="J71" s="9">
        <f t="shared" si="41"/>
        <v>0</v>
      </c>
      <c r="K71" s="9">
        <f t="shared" si="42"/>
        <v>0</v>
      </c>
      <c r="L71" s="10">
        <f t="shared" si="43"/>
        <v>0</v>
      </c>
    </row>
    <row r="72" spans="2:12">
      <c r="B72" s="7" t="s">
        <v>20</v>
      </c>
      <c r="C72" s="9">
        <f>$C$24*0.9</f>
        <v>0</v>
      </c>
      <c r="D72" s="9">
        <f t="shared" si="38"/>
        <v>0</v>
      </c>
      <c r="E72" s="9">
        <f t="shared" si="39"/>
        <v>0</v>
      </c>
      <c r="F72" s="10">
        <f t="shared" si="40"/>
        <v>0</v>
      </c>
      <c r="H72" s="7" t="s">
        <v>7</v>
      </c>
      <c r="I72" s="9">
        <f>$C$24*0.85</f>
        <v>0</v>
      </c>
      <c r="J72" s="9">
        <f t="shared" si="41"/>
        <v>0</v>
      </c>
      <c r="K72" s="9">
        <f t="shared" si="42"/>
        <v>0</v>
      </c>
      <c r="L72" s="10">
        <f t="shared" si="43"/>
        <v>0</v>
      </c>
    </row>
    <row r="73" spans="2:12">
      <c r="B73" s="7" t="s">
        <v>21</v>
      </c>
      <c r="C73" s="9">
        <f>$C$25*1.1</f>
        <v>0</v>
      </c>
      <c r="D73" s="9">
        <f t="shared" si="38"/>
        <v>0</v>
      </c>
      <c r="E73" s="9">
        <f t="shared" si="39"/>
        <v>0</v>
      </c>
      <c r="F73" s="10">
        <f t="shared" si="40"/>
        <v>0</v>
      </c>
      <c r="H73" s="7" t="s">
        <v>8</v>
      </c>
      <c r="I73" s="9">
        <f>$C$25*1.15</f>
        <v>0</v>
      </c>
      <c r="J73" s="9">
        <f t="shared" si="41"/>
        <v>0</v>
      </c>
      <c r="K73" s="9">
        <f t="shared" si="42"/>
        <v>0</v>
      </c>
      <c r="L73" s="10">
        <f t="shared" si="43"/>
        <v>0</v>
      </c>
    </row>
    <row r="74" spans="2:12">
      <c r="B74" s="11" t="s">
        <v>22</v>
      </c>
      <c r="C74" s="13">
        <f>$C$26</f>
        <v>0</v>
      </c>
      <c r="D74" s="13">
        <f t="shared" si="38"/>
        <v>0</v>
      </c>
      <c r="E74" s="13">
        <f t="shared" si="39"/>
        <v>0</v>
      </c>
      <c r="F74" s="14">
        <f t="shared" si="40"/>
        <v>0</v>
      </c>
      <c r="H74" s="11" t="s">
        <v>9</v>
      </c>
      <c r="I74" s="13">
        <f>$C$26</f>
        <v>0</v>
      </c>
      <c r="J74" s="13">
        <f t="shared" si="41"/>
        <v>0</v>
      </c>
      <c r="K74" s="13">
        <f t="shared" si="42"/>
        <v>0</v>
      </c>
      <c r="L74" s="14">
        <f t="shared" si="43"/>
        <v>0</v>
      </c>
    </row>
    <row r="76" spans="2:12">
      <c r="B76" s="19" t="s">
        <v>34</v>
      </c>
      <c r="C76" s="5" t="s">
        <v>75</v>
      </c>
      <c r="D76" s="5" t="s">
        <v>76</v>
      </c>
      <c r="E76" s="5" t="s">
        <v>77</v>
      </c>
      <c r="F76" s="6" t="s">
        <v>49</v>
      </c>
      <c r="G76" s="1"/>
      <c r="H76" s="19" t="s">
        <v>38</v>
      </c>
      <c r="I76" s="5" t="s">
        <v>79</v>
      </c>
      <c r="J76" s="5" t="s">
        <v>82</v>
      </c>
      <c r="K76" s="5" t="s">
        <v>83</v>
      </c>
      <c r="L76" s="6" t="s">
        <v>50</v>
      </c>
    </row>
    <row r="77" spans="2:12">
      <c r="B77" s="7" t="s">
        <v>17</v>
      </c>
      <c r="C77" s="9">
        <f>$C$21</f>
        <v>0</v>
      </c>
      <c r="D77" s="9">
        <f>C77*2.5</f>
        <v>0</v>
      </c>
      <c r="E77" s="9">
        <f>D77+(C77/2)</f>
        <v>0</v>
      </c>
      <c r="F77" s="10">
        <f>C77/2</f>
        <v>0</v>
      </c>
      <c r="H77" s="7" t="s">
        <v>10</v>
      </c>
      <c r="I77" s="9">
        <f>$C$21</f>
        <v>0</v>
      </c>
      <c r="J77" s="9">
        <f>I77*2.754</f>
        <v>0</v>
      </c>
      <c r="K77" s="9">
        <f>J77+(I77*0.55)</f>
        <v>0</v>
      </c>
      <c r="L77" s="10">
        <f>I77*0.55</f>
        <v>0</v>
      </c>
    </row>
    <row r="78" spans="2:12">
      <c r="B78" s="7" t="s">
        <v>18</v>
      </c>
      <c r="C78" s="9">
        <f>$C$22</f>
        <v>0</v>
      </c>
      <c r="D78" s="9">
        <f t="shared" ref="D78:D82" si="44">C78*2.5</f>
        <v>0</v>
      </c>
      <c r="E78" s="9">
        <f t="shared" ref="E78:E82" si="45">D78+(C78/2)</f>
        <v>0</v>
      </c>
      <c r="F78" s="10">
        <f t="shared" ref="F78:F82" si="46">C78/2</f>
        <v>0</v>
      </c>
      <c r="H78" s="7" t="s">
        <v>11</v>
      </c>
      <c r="I78" s="9">
        <f>$C$22</f>
        <v>0</v>
      </c>
      <c r="J78" s="9">
        <f t="shared" ref="J78:J82" si="47">I78*2.754</f>
        <v>0</v>
      </c>
      <c r="K78" s="9">
        <f t="shared" ref="K78:K82" si="48">J78+(I78*0.55)</f>
        <v>0</v>
      </c>
      <c r="L78" s="10">
        <f t="shared" ref="L78:L82" si="49">I78*0.55</f>
        <v>0</v>
      </c>
    </row>
    <row r="79" spans="2:12">
      <c r="B79" s="7" t="s">
        <v>19</v>
      </c>
      <c r="C79" s="9">
        <f>$C$23*0.9</f>
        <v>0</v>
      </c>
      <c r="D79" s="9">
        <f t="shared" si="44"/>
        <v>0</v>
      </c>
      <c r="E79" s="9">
        <f t="shared" si="45"/>
        <v>0</v>
      </c>
      <c r="F79" s="10">
        <f t="shared" si="46"/>
        <v>0</v>
      </c>
      <c r="H79" s="7" t="s">
        <v>12</v>
      </c>
      <c r="I79" s="9">
        <f>$C$23*0.85</f>
        <v>0</v>
      </c>
      <c r="J79" s="9">
        <f t="shared" si="47"/>
        <v>0</v>
      </c>
      <c r="K79" s="9">
        <f t="shared" si="48"/>
        <v>0</v>
      </c>
      <c r="L79" s="10">
        <f t="shared" si="49"/>
        <v>0</v>
      </c>
    </row>
    <row r="80" spans="2:12">
      <c r="B80" s="7" t="s">
        <v>20</v>
      </c>
      <c r="C80" s="9">
        <f>$C$24</f>
        <v>0</v>
      </c>
      <c r="D80" s="9">
        <f t="shared" si="44"/>
        <v>0</v>
      </c>
      <c r="E80" s="9">
        <f t="shared" si="45"/>
        <v>0</v>
      </c>
      <c r="F80" s="10">
        <f t="shared" si="46"/>
        <v>0</v>
      </c>
      <c r="H80" s="7" t="s">
        <v>13</v>
      </c>
      <c r="I80" s="9">
        <f>$C$24</f>
        <v>0</v>
      </c>
      <c r="J80" s="9">
        <f t="shared" si="47"/>
        <v>0</v>
      </c>
      <c r="K80" s="9">
        <f t="shared" si="48"/>
        <v>0</v>
      </c>
      <c r="L80" s="10">
        <f t="shared" si="49"/>
        <v>0</v>
      </c>
    </row>
    <row r="81" spans="2:12">
      <c r="B81" s="7" t="s">
        <v>21</v>
      </c>
      <c r="C81" s="9">
        <f>$C$25</f>
        <v>0</v>
      </c>
      <c r="D81" s="9">
        <f t="shared" si="44"/>
        <v>0</v>
      </c>
      <c r="E81" s="9">
        <f t="shared" si="45"/>
        <v>0</v>
      </c>
      <c r="F81" s="10">
        <f t="shared" si="46"/>
        <v>0</v>
      </c>
      <c r="H81" s="7" t="s">
        <v>14</v>
      </c>
      <c r="I81" s="9">
        <f>$C$25</f>
        <v>0</v>
      </c>
      <c r="J81" s="9">
        <f t="shared" si="47"/>
        <v>0</v>
      </c>
      <c r="K81" s="9">
        <f t="shared" si="48"/>
        <v>0</v>
      </c>
      <c r="L81" s="10">
        <f t="shared" si="49"/>
        <v>0</v>
      </c>
    </row>
    <row r="82" spans="2:12">
      <c r="B82" s="11" t="s">
        <v>22</v>
      </c>
      <c r="C82" s="13">
        <f>$C$26*1.1</f>
        <v>0</v>
      </c>
      <c r="D82" s="13">
        <f t="shared" si="44"/>
        <v>0</v>
      </c>
      <c r="E82" s="13">
        <f t="shared" si="45"/>
        <v>0</v>
      </c>
      <c r="F82" s="14">
        <f t="shared" si="46"/>
        <v>0</v>
      </c>
      <c r="H82" s="11" t="s">
        <v>15</v>
      </c>
      <c r="I82" s="13">
        <f>$C$26*1.15</f>
        <v>0</v>
      </c>
      <c r="J82" s="13">
        <f t="shared" si="47"/>
        <v>0</v>
      </c>
      <c r="K82" s="13">
        <f t="shared" si="48"/>
        <v>0</v>
      </c>
      <c r="L82" s="14">
        <f t="shared" si="49"/>
        <v>0</v>
      </c>
    </row>
  </sheetData>
  <sheetCalcPr fullCalcOnLoad="1"/>
  <phoneticPr fontId="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Ede</dc:creator>
  <cp:lastModifiedBy>Craig Ede</cp:lastModifiedBy>
  <dcterms:created xsi:type="dcterms:W3CDTF">2013-04-07T21:41:04Z</dcterms:created>
  <dcterms:modified xsi:type="dcterms:W3CDTF">2013-04-07T23:43:16Z</dcterms:modified>
</cp:coreProperties>
</file>